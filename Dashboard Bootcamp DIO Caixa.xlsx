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intia\Desktop\Caixa DIO\"/>
    </mc:Choice>
  </mc:AlternateContent>
  <xr:revisionPtr revIDLastSave="0" documentId="13_ncr:1_{7739AC3E-F0CF-485B-8699-CF850F2C1943}" xr6:coauthVersionLast="47" xr6:coauthVersionMax="47" xr10:uidLastSave="{00000000-0000-0000-0000-000000000000}"/>
  <bookViews>
    <workbookView xWindow="-120" yWindow="-120" windowWidth="20730" windowHeight="11160" tabRatio="571" firstSheet="3" activeTab="3" xr2:uid="{69A838FE-CAA7-4505-9310-C6FC663C604B}"/>
  </bookViews>
  <sheets>
    <sheet name="Data" sheetId="1" state="hidden" r:id="rId1"/>
    <sheet name="Caixinha" sheetId="4" state="hidden" r:id="rId2"/>
    <sheet name="Controller" sheetId="2" state="hidden" r:id="rId3"/>
    <sheet name="Dashboard" sheetId="3" r:id="rId4"/>
  </sheets>
  <definedNames>
    <definedName name="SegmentaçãodeDados_Mês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<sst xmlns="http://schemas.openxmlformats.org/spreadsheetml/2006/main" count="258" uniqueCount="80">
  <si>
    <t>Data</t>
  </si>
  <si>
    <t>Tipo</t>
  </si>
  <si>
    <t>Descrição</t>
  </si>
  <si>
    <t>Valor</t>
  </si>
  <si>
    <t>Categoria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</si>
  <si>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</si>
  <si>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</si>
  <si>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</si>
  <si>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</si>
  <si>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</si>
  <si>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</si>
  <si>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</si>
  <si>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</si>
  <si>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</si>
  <si>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</si>
  <si>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</si>
  <si>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</si>
  <si>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</si>
  <si>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</si>
  <si>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</si>
  <si>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</si>
  <si>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</si>
  <si>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</si>
  <si>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</si>
  <si>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</si>
  <si>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</si>
  <si>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</si>
  <si>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</si>
  <si>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</si>
  <si>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</si>
  <si>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</si>
  <si>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</si>
  <si>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</si>
  <si>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</si>
  <si>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</si>
  <si>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</si>
  <si>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</si>
  <si>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</si>
  <si>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</si>
  <si>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</si>
  <si>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</si>
  <si>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</si>
  <si>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</si>
  <si>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</si>
  <si>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</si>
  <si>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</si>
  <si>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</si>
  <si>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Freelance</t>
  </si>
  <si>
    <t>Pagamento por projeto freelancer</t>
  </si>
  <si>
    <t>Utilidades Dom.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</si>
  <si>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</si>
  <si>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</si>
  <si>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</si>
  <si>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</si>
  <si>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</si>
  <si>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</si>
  <si>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</si>
  <si>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</si>
  <si>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</si>
  <si>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</si>
  <si>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</si>
  <si>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</si>
  <si>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</si>
  <si>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</si>
  <si>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</si>
  <si>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Cinema e jantar</t>
  </si>
  <si>
    <t>Plano de saúde</t>
  </si>
  <si>
    <t>Compra de roupas</t>
  </si>
  <si>
    <t>Manutenção do veículo</t>
  </si>
  <si>
    <t>Compra de novo smartphone</t>
  </si>
  <si>
    <t>Conta de energia elétrica</t>
  </si>
  <si>
    <t>Aniversário da mãe</t>
  </si>
  <si>
    <t>Rótulos de Linha</t>
  </si>
  <si>
    <t>Total Geral</t>
  </si>
  <si>
    <t>Soma de Valor</t>
  </si>
  <si>
    <t>Mês</t>
  </si>
  <si>
    <t>Depósito Reservado</t>
  </si>
  <si>
    <t>Total Reservado</t>
  </si>
  <si>
    <t>Meta de Reserva</t>
  </si>
  <si>
    <t>Data de Lançamento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</si>
</sst>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B61AF"/>
        <bgColor indexed="6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4" borderId="0" applyNumberFormat="0" applyBorder="0" applyAlignment="0" applyProtection="0"/>
  </cellStyleXfs>
  <cellXfs count="15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3" fillId="0" borderId="0" xfId="0" applyFont="1"/>
    <xf numFmtId="44" fontId="0" fillId="0" borderId="0" xfId="1" applyFont="1"/>
    <xf numFmtId="14" fontId="0" fillId="0" borderId="0" xfId="0" applyNumberFormat="1" applyAlignment="1">
      <alignment horizontal="center"/>
    </xf>
    <xf numFmtId="0" fontId="2" fillId="4" borderId="0" xfId="2"/>
  </cellXfs>
  <cellStyles count="3">
    <cellStyle name="60% - Ênfase1" xfId="2" builtinId="32"/>
    <cellStyle name="Mo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numFmt numFmtId="164" formatCode="&quot;R$&quot;\ #,##0.00"/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u val="none"/>
        <color theme="0"/>
        <name val="Segoe UI Light"/>
        <family val="2"/>
        <scheme val="none"/>
      </font>
      <fill>
        <patternFill>
          <bgColor rgb="FF1B61AF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X " pivot="0" table="0" count="10" xr9:uid="{623B57C9-3574-4BDB-BC25-7A1F70AE2F99}">
      <tableStyleElement type="wholeTable" dxfId="15"/>
      <tableStyleElement type="headerRow" dxfId="14"/>
    </tableStyle>
  </tableStyles>
  <colors>
    <mruColors>
      <color rgb="FFC7D5ED"/>
      <color rgb="FF1B61AF"/>
      <color rgb="FF7AAFEA"/>
      <color rgb="FF0000FF"/>
      <color rgb="FFFEA01B"/>
      <color rgb="FFE61ED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2065187536243"/>
              <bgColor theme="0" tint="-0.149967955565050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8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X 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Bootcamp DIO Caixa.xlsx]Controller!Tabela dinâmica3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1B61AF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Controller!$G$4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1B61A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Controller!$F$5:$F$7</c:f>
              <c:strCache>
                <c:ptCount val="2"/>
                <c:pt idx="0">
                  <c:v>Investimentos</c:v>
                </c:pt>
                <c:pt idx="1">
                  <c:v>Renda Fixa</c:v>
                </c:pt>
              </c:strCache>
            </c:strRef>
          </c:cat>
          <c:val>
            <c:numRef>
              <c:f>Controller!$G$5:$G$7</c:f>
              <c:numCache>
                <c:formatCode>"R$"\ #,##0.00</c:formatCode>
                <c:ptCount val="2"/>
                <c:pt idx="0">
                  <c:v>800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549-8294-13E684DEA4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845368"/>
        <c:axId val="196843928"/>
      </c:barChart>
      <c:catAx>
        <c:axId val="19684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843928"/>
        <c:crosses val="autoZero"/>
        <c:auto val="1"/>
        <c:lblAlgn val="ctr"/>
        <c:lblOffset val="100"/>
        <c:noMultiLvlLbl val="0"/>
      </c:catAx>
      <c:valAx>
        <c:axId val="19684392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9684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Bootcamp DIO Caixa.xlsx]Controller!Tabela dinâmica2</c:name>
    <c:fmtId val="4"/>
  </c:pivotSource>
  <c:chart>
    <c:autoTitleDeleted val="1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1B61AF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041049305141247E-2"/>
          <c:y val="0.1111111111111111"/>
          <c:w val="0.93858257298102576"/>
          <c:h val="0.591485855934674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Controller!$C$4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1B61A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Controller!$B$5:$B$19</c:f>
              <c:strCache>
                <c:ptCount val="14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Domésticas</c:v>
                </c:pt>
                <c:pt idx="12">
                  <c:v>Vestuário</c:v>
                </c:pt>
                <c:pt idx="13">
                  <c:v>Viagem</c:v>
                </c:pt>
              </c:strCache>
            </c:strRef>
          </c:cat>
          <c:val>
            <c:numRef>
              <c:f>Controller!$C$5:$C$19</c:f>
              <c:numCache>
                <c:formatCode>"R$"\ #,##0.00</c:formatCode>
                <c:ptCount val="14"/>
                <c:pt idx="0">
                  <c:v>550</c:v>
                </c:pt>
                <c:pt idx="1">
                  <c:v>80</c:v>
                </c:pt>
                <c:pt idx="2">
                  <c:v>400</c:v>
                </c:pt>
                <c:pt idx="3">
                  <c:v>1200</c:v>
                </c:pt>
                <c:pt idx="4">
                  <c:v>350</c:v>
                </c:pt>
                <c:pt idx="5">
                  <c:v>120</c:v>
                </c:pt>
                <c:pt idx="6">
                  <c:v>200</c:v>
                </c:pt>
                <c:pt idx="7">
                  <c:v>180</c:v>
                </c:pt>
                <c:pt idx="8">
                  <c:v>250</c:v>
                </c:pt>
                <c:pt idx="9">
                  <c:v>150</c:v>
                </c:pt>
                <c:pt idx="10">
                  <c:v>300</c:v>
                </c:pt>
                <c:pt idx="11">
                  <c:v>450</c:v>
                </c:pt>
                <c:pt idx="12">
                  <c:v>600</c:v>
                </c:pt>
                <c:pt idx="1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9-468A-9430-8565DA84F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312255704"/>
        <c:axId val="312259304"/>
      </c:barChart>
      <c:catAx>
        <c:axId val="31225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2259304"/>
        <c:crosses val="autoZero"/>
        <c:auto val="1"/>
        <c:lblAlgn val="ctr"/>
        <c:lblOffset val="100"/>
        <c:noMultiLvlLbl val="0"/>
      </c:catAx>
      <c:valAx>
        <c:axId val="31225930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12255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spPr>
            <a:gradFill flip="none" rotWithShape="1">
              <a:gsLst>
                <a:gs pos="0">
                  <a:schemeClr val="bg1">
                    <a:lumMod val="9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8-40A5-A80C-ECBFAB954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568272"/>
        <c:axId val="326569352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C7D5ED"/>
                </a:gs>
                <a:gs pos="100000">
                  <a:srgbClr val="1B61AF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8-40A5-A80C-ECBFAB954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640872"/>
        <c:axId val="573642672"/>
      </c:barChart>
      <c:catAx>
        <c:axId val="32656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569352"/>
        <c:crosses val="autoZero"/>
        <c:auto val="1"/>
        <c:lblAlgn val="ctr"/>
        <c:lblOffset val="100"/>
        <c:noMultiLvlLbl val="0"/>
      </c:catAx>
      <c:valAx>
        <c:axId val="3265693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26568272"/>
        <c:crosses val="autoZero"/>
        <c:crossBetween val="between"/>
      </c:valAx>
      <c:valAx>
        <c:axId val="573642672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73640872"/>
        <c:crosses val="max"/>
        <c:crossBetween val="between"/>
      </c:valAx>
      <c:catAx>
        <c:axId val="573640872"/>
        <c:scaling>
          <c:orientation val="minMax"/>
        </c:scaling>
        <c:delete val="1"/>
        <c:axPos val="b"/>
        <c:majorTickMark val="out"/>
        <c:minorTickMark val="none"/>
        <c:tickLblPos val="nextTo"/>
        <c:crossAx val="57364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70879-banknote-painted-money-illustration-hand-banknotes-cartoon" TargetMode="External"/><Relationship Id="rId13" Type="http://schemas.openxmlformats.org/officeDocument/2006/relationships/hyperlink" Target="http://www.pngall.com/magnifying-glass-png" TargetMode="External"/><Relationship Id="rId3" Type="http://schemas.openxmlformats.org/officeDocument/2006/relationships/hyperlink" Target="https://commons.wikimedia.org/wiki/File:CashRegister.svg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5.png"/><Relationship Id="rId2" Type="http://schemas.openxmlformats.org/officeDocument/2006/relationships/image" Target="../media/image1.png"/><Relationship Id="rId16" Type="http://schemas.openxmlformats.org/officeDocument/2006/relationships/hyperlink" Target="https://pixabay.com/en/savings-box-pig-piggy-bank-money-161876/" TargetMode="External"/><Relationship Id="rId1" Type="http://schemas.openxmlformats.org/officeDocument/2006/relationships/chart" Target="../charts/chart1.xml"/><Relationship Id="rId6" Type="http://schemas.openxmlformats.org/officeDocument/2006/relationships/hyperlink" Target="https://freepngimg.com/png/64998-money-dollar-sign-currency-android-emoji" TargetMode="External"/><Relationship Id="rId11" Type="http://schemas.openxmlformats.org/officeDocument/2006/relationships/hyperlink" Target="#Data!A1"/><Relationship Id="rId5" Type="http://schemas.openxmlformats.org/officeDocument/2006/relationships/image" Target="../media/image2.png"/><Relationship Id="rId15" Type="http://schemas.openxmlformats.org/officeDocument/2006/relationships/image" Target="../media/image6.png"/><Relationship Id="rId10" Type="http://schemas.openxmlformats.org/officeDocument/2006/relationships/hyperlink" Target="http://marylousiviero.blogspot.com/2013/11/week-7-practicing-digital-literacy.html" TargetMode="External"/><Relationship Id="rId4" Type="http://schemas.openxmlformats.org/officeDocument/2006/relationships/chart" Target="../charts/chart2.xml"/><Relationship Id="rId9" Type="http://schemas.openxmlformats.org/officeDocument/2006/relationships/image" Target="../media/image4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59532</xdr:colOff>
      <xdr:row>8</xdr:row>
      <xdr:rowOff>130967</xdr:rowOff>
    </xdr:from>
    <xdr:to>
      <xdr:col>0</xdr:col>
      <xdr:colOff>1859532</xdr:colOff>
      <xdr:row>14</xdr:row>
      <xdr:rowOff>154779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es">
              <a:extLst>
                <a:ext uri="{FF2B5EF4-FFF2-40B4-BE49-F238E27FC236}">
                  <a16:creationId xmlns:a16="http://schemas.microsoft.com/office/drawing/2014/main" id="{9AE210C9-E023-4312-86A1-DEB12D4864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2" y="1654967"/>
              <a:ext cx="1800000" cy="1166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309557</xdr:colOff>
      <xdr:row>7</xdr:row>
      <xdr:rowOff>130965</xdr:rowOff>
    </xdr:from>
    <xdr:to>
      <xdr:col>9</xdr:col>
      <xdr:colOff>215714</xdr:colOff>
      <xdr:row>23</xdr:row>
      <xdr:rowOff>83340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FC0ECF97-3EA1-D1DC-23B1-E8F1015E58C6}"/>
            </a:ext>
          </a:extLst>
        </xdr:cNvPr>
        <xdr:cNvGrpSpPr/>
      </xdr:nvGrpSpPr>
      <xdr:grpSpPr>
        <a:xfrm>
          <a:off x="2226463" y="1464465"/>
          <a:ext cx="4763907" cy="3000375"/>
          <a:chOff x="2226464" y="404813"/>
          <a:chExt cx="4763907" cy="3000375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60D410D5-233C-1266-F100-D4AEC3806CAE}"/>
              </a:ext>
            </a:extLst>
          </xdr:cNvPr>
          <xdr:cNvGrpSpPr/>
        </xdr:nvGrpSpPr>
        <xdr:grpSpPr>
          <a:xfrm>
            <a:off x="2226464" y="404813"/>
            <a:ext cx="4763907" cy="3000375"/>
            <a:chOff x="2226464" y="404813"/>
            <a:chExt cx="4763907" cy="3000375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CF05EFC3-9FF1-1C0E-1FB7-E14C51E5FFB5}"/>
                </a:ext>
              </a:extLst>
            </xdr:cNvPr>
            <xdr:cNvGrpSpPr/>
          </xdr:nvGrpSpPr>
          <xdr:grpSpPr>
            <a:xfrm>
              <a:off x="2226464" y="404813"/>
              <a:ext cx="4763907" cy="3000375"/>
              <a:chOff x="2857498" y="392906"/>
              <a:chExt cx="4763907" cy="3000375"/>
            </a:xfrm>
          </xdr:grpSpPr>
          <xdr:grpSp>
            <xdr:nvGrpSpPr>
              <xdr:cNvPr id="10" name="Agrupar 9">
                <a:extLst>
                  <a:ext uri="{FF2B5EF4-FFF2-40B4-BE49-F238E27FC236}">
                    <a16:creationId xmlns:a16="http://schemas.microsoft.com/office/drawing/2014/main" id="{25F2B023-7678-98F6-F198-063C2D369340}"/>
                  </a:ext>
                </a:extLst>
              </xdr:cNvPr>
              <xdr:cNvGrpSpPr/>
            </xdr:nvGrpSpPr>
            <xdr:grpSpPr>
              <a:xfrm>
                <a:off x="2857498" y="392906"/>
                <a:ext cx="4763907" cy="3000375"/>
                <a:chOff x="3262311" y="762000"/>
                <a:chExt cx="4763907" cy="3000375"/>
              </a:xfrm>
            </xdr:grpSpPr>
            <xdr:sp macro="" textlink="">
              <xdr:nvSpPr>
                <xdr:cNvPr id="7" name="Retângulo: Cantos Arredondados 6">
                  <a:extLst>
                    <a:ext uri="{FF2B5EF4-FFF2-40B4-BE49-F238E27FC236}">
                      <a16:creationId xmlns:a16="http://schemas.microsoft.com/office/drawing/2014/main" id="{4F2167CF-DCA2-6BE2-D135-D1C5B4C06D24}"/>
                    </a:ext>
                  </a:extLst>
                </xdr:cNvPr>
                <xdr:cNvSpPr/>
              </xdr:nvSpPr>
              <xdr:spPr>
                <a:xfrm>
                  <a:off x="3274218" y="881062"/>
                  <a:ext cx="4752000" cy="2881313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  <xdr:sp macro="" textlink="">
              <xdr:nvSpPr>
                <xdr:cNvPr id="9" name="Retângulo: Cantos Superiores Arredondados 8">
                  <a:extLst>
                    <a:ext uri="{FF2B5EF4-FFF2-40B4-BE49-F238E27FC236}">
                      <a16:creationId xmlns:a16="http://schemas.microsoft.com/office/drawing/2014/main" id="{14A2D2FB-4834-ED27-CC5D-99F417C20164}"/>
                    </a:ext>
                  </a:extLst>
                </xdr:cNvPr>
                <xdr:cNvSpPr/>
              </xdr:nvSpPr>
              <xdr:spPr>
                <a:xfrm>
                  <a:off x="3262311" y="762000"/>
                  <a:ext cx="4752000" cy="595312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>
                    <a:ln>
                      <a:noFill/>
                    </a:ln>
                    <a:solidFill>
                      <a:srgbClr val="1B61AF"/>
                    </a:solidFill>
                  </a:endParaRPr>
                </a:p>
              </xdr:txBody>
            </xdr:sp>
          </xdr:grpSp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5283B010-3511-4D29-AD9B-219B9419554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512341" y="1071562"/>
              <a:ext cx="3488532" cy="22431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</xdr:grp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D479B4A6-19DA-43B0-3714-DF3C3D5A062D}"/>
                </a:ext>
              </a:extLst>
            </xdr:cNvPr>
            <xdr:cNvSpPr txBox="1"/>
          </xdr:nvSpPr>
          <xdr:spPr>
            <a:xfrm>
              <a:off x="3083696" y="488156"/>
              <a:ext cx="1107739" cy="433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2000" kern="1200">
                  <a:ln>
                    <a:noFill/>
                  </a:ln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Entradas</a:t>
              </a:r>
              <a:endParaRPr lang="pt-BR" sz="1600" kern="1200">
                <a:ln>
                  <a:noFill/>
                </a:ln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</xdr:grpSp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3F766665-D099-A458-DFEE-50DBB03462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tretch>
            <a:fillRect/>
          </a:stretch>
        </xdr:blipFill>
        <xdr:spPr>
          <a:xfrm>
            <a:off x="2364568" y="428624"/>
            <a:ext cx="763727" cy="90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297651</xdr:colOff>
      <xdr:row>24</xdr:row>
      <xdr:rowOff>130961</xdr:rowOff>
    </xdr:from>
    <xdr:to>
      <xdr:col>17</xdr:col>
      <xdr:colOff>369094</xdr:colOff>
      <xdr:row>42</xdr:row>
      <xdr:rowOff>111915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A8FD9723-C897-21D5-C7EC-4541A52A917F}"/>
            </a:ext>
          </a:extLst>
        </xdr:cNvPr>
        <xdr:cNvGrpSpPr/>
      </xdr:nvGrpSpPr>
      <xdr:grpSpPr>
        <a:xfrm>
          <a:off x="2214557" y="4702961"/>
          <a:ext cx="9786943" cy="3409954"/>
          <a:chOff x="2226464" y="3500437"/>
          <a:chExt cx="11179970" cy="3409954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A5C90D24-5930-0B28-73C7-F687E5C62699}"/>
              </a:ext>
            </a:extLst>
          </xdr:cNvPr>
          <xdr:cNvGrpSpPr/>
        </xdr:nvGrpSpPr>
        <xdr:grpSpPr>
          <a:xfrm>
            <a:off x="2226464" y="3521867"/>
            <a:ext cx="11179970" cy="3388524"/>
            <a:chOff x="2226464" y="3521867"/>
            <a:chExt cx="11179970" cy="3388524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5FF5C27F-4802-163C-A0DC-A73F40FDA3E0}"/>
                </a:ext>
              </a:extLst>
            </xdr:cNvPr>
            <xdr:cNvGrpSpPr/>
          </xdr:nvGrpSpPr>
          <xdr:grpSpPr>
            <a:xfrm>
              <a:off x="2226464" y="3521867"/>
              <a:ext cx="11179970" cy="3388524"/>
              <a:chOff x="2000245" y="3724275"/>
              <a:chExt cx="11179970" cy="3388524"/>
            </a:xfrm>
          </xdr:grpSpPr>
          <xdr:grpSp>
            <xdr:nvGrpSpPr>
              <xdr:cNvPr id="15" name="Agrupar 14">
                <a:extLst>
                  <a:ext uri="{FF2B5EF4-FFF2-40B4-BE49-F238E27FC236}">
                    <a16:creationId xmlns:a16="http://schemas.microsoft.com/office/drawing/2014/main" id="{0D83F628-FA6E-78AA-1A00-ED563DA8952D}"/>
                  </a:ext>
                </a:extLst>
              </xdr:cNvPr>
              <xdr:cNvGrpSpPr/>
            </xdr:nvGrpSpPr>
            <xdr:grpSpPr>
              <a:xfrm>
                <a:off x="2033586" y="3724275"/>
                <a:ext cx="11099008" cy="3024187"/>
                <a:chOff x="2033586" y="3724275"/>
                <a:chExt cx="11099008" cy="3024187"/>
              </a:xfrm>
            </xdr:grpSpPr>
            <xdr:sp macro="" textlink="">
              <xdr:nvSpPr>
                <xdr:cNvPr id="8" name="Retângulo: Cantos Arredondados 7">
                  <a:extLst>
                    <a:ext uri="{FF2B5EF4-FFF2-40B4-BE49-F238E27FC236}">
                      <a16:creationId xmlns:a16="http://schemas.microsoft.com/office/drawing/2014/main" id="{5979AB47-E6E2-4A44-BAD0-31B0D5B1E49C}"/>
                    </a:ext>
                  </a:extLst>
                </xdr:cNvPr>
                <xdr:cNvSpPr/>
              </xdr:nvSpPr>
              <xdr:spPr>
                <a:xfrm>
                  <a:off x="2045494" y="3867149"/>
                  <a:ext cx="11087100" cy="2881313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  <xdr:sp macro="" textlink="">
              <xdr:nvSpPr>
                <xdr:cNvPr id="14" name="Retângulo: Cantos Superiores Arredondados 13">
                  <a:extLst>
                    <a:ext uri="{FF2B5EF4-FFF2-40B4-BE49-F238E27FC236}">
                      <a16:creationId xmlns:a16="http://schemas.microsoft.com/office/drawing/2014/main" id="{126E21EF-12A7-48B2-A143-5DCDC9FB1287}"/>
                    </a:ext>
                  </a:extLst>
                </xdr:cNvPr>
                <xdr:cNvSpPr/>
              </xdr:nvSpPr>
              <xdr:spPr>
                <a:xfrm>
                  <a:off x="2033586" y="3724275"/>
                  <a:ext cx="11088000" cy="595312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>
                    <a:ln>
                      <a:noFill/>
                    </a:ln>
                    <a:solidFill>
                      <a:srgbClr val="1B61AF"/>
                    </a:solidFill>
                  </a:endParaRPr>
                </a:p>
              </xdr:txBody>
            </xdr:sp>
          </xdr:grp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61FAED39-BE2C-486D-B43C-CB2F54FA542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000245" y="4369599"/>
              <a:ext cx="1117997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BEA70E23-F11F-4121-9308-52703A88C4F4}"/>
                </a:ext>
              </a:extLst>
            </xdr:cNvPr>
            <xdr:cNvSpPr txBox="1"/>
          </xdr:nvSpPr>
          <xdr:spPr>
            <a:xfrm>
              <a:off x="3083696" y="3607594"/>
              <a:ext cx="923010" cy="365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2000" kern="1200">
                  <a:ln>
                    <a:noFill/>
                  </a:ln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Gastos</a:t>
              </a:r>
              <a:endParaRPr lang="pt-BR" sz="1600" kern="1200">
                <a:ln>
                  <a:noFill/>
                </a:ln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</xdr:grpSp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3C8D83E5-252D-12C9-EAF6-894CF22B8D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6"/>
              </a:ext>
            </a:extLst>
          </a:blip>
          <a:stretch>
            <a:fillRect/>
          </a:stretch>
        </xdr:blipFill>
        <xdr:spPr>
          <a:xfrm>
            <a:off x="2416968" y="3500437"/>
            <a:ext cx="675000" cy="108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83345</xdr:colOff>
      <xdr:row>1</xdr:row>
      <xdr:rowOff>107159</xdr:rowOff>
    </xdr:from>
    <xdr:to>
      <xdr:col>0</xdr:col>
      <xdr:colOff>1811345</xdr:colOff>
      <xdr:row>5</xdr:row>
      <xdr:rowOff>154785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4F0F8ED7-2407-7540-A02C-9EEF3B388168}"/>
            </a:ext>
          </a:extLst>
        </xdr:cNvPr>
        <xdr:cNvGrpSpPr/>
      </xdr:nvGrpSpPr>
      <xdr:grpSpPr>
        <a:xfrm>
          <a:off x="83345" y="297659"/>
          <a:ext cx="1728000" cy="809626"/>
          <a:chOff x="83344" y="416718"/>
          <a:chExt cx="1728000" cy="809626"/>
        </a:xfrm>
      </xdr:grpSpPr>
      <xdr:sp macro="" textlink="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10F3D439-5C75-7AD8-7D3C-B9A93D2266B9}"/>
              </a:ext>
            </a:extLst>
          </xdr:cNvPr>
          <xdr:cNvSpPr/>
        </xdr:nvSpPr>
        <xdr:spPr>
          <a:xfrm>
            <a:off x="83344" y="416718"/>
            <a:ext cx="1728000" cy="809626"/>
          </a:xfrm>
          <a:prstGeom prst="roundRect">
            <a:avLst>
              <a:gd name="adj" fmla="val 50000"/>
            </a:avLst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 b="1" kern="1200">
                <a:solidFill>
                  <a:schemeClr val="bg1"/>
                </a:solidFill>
              </a:rPr>
              <a:t>Money APP</a:t>
            </a:r>
          </a:p>
        </xdr:txBody>
      </xdr: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D91AAA74-9AB3-CF79-B9CB-BC8AC5FE13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8"/>
              </a:ext>
            </a:extLst>
          </a:blip>
          <a:stretch>
            <a:fillRect/>
          </a:stretch>
        </xdr:blipFill>
        <xdr:spPr>
          <a:xfrm>
            <a:off x="1015756" y="476250"/>
            <a:ext cx="746369" cy="70246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333369</xdr:colOff>
      <xdr:row>1</xdr:row>
      <xdr:rowOff>0</xdr:rowOff>
    </xdr:from>
    <xdr:to>
      <xdr:col>17</xdr:col>
      <xdr:colOff>345281</xdr:colOff>
      <xdr:row>6</xdr:row>
      <xdr:rowOff>107155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A34E2D9D-9D9F-0147-1667-6DD97AABE777}"/>
            </a:ext>
          </a:extLst>
        </xdr:cNvPr>
        <xdr:cNvGrpSpPr/>
      </xdr:nvGrpSpPr>
      <xdr:grpSpPr>
        <a:xfrm>
          <a:off x="2250275" y="190500"/>
          <a:ext cx="9727412" cy="1059655"/>
          <a:chOff x="2226463" y="154781"/>
          <a:chExt cx="11465723" cy="1059655"/>
        </a:xfrm>
      </xdr:grpSpPr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F179EF56-428D-C9DF-6109-C4258384BF71}"/>
              </a:ext>
            </a:extLst>
          </xdr:cNvPr>
          <xdr:cNvGrpSpPr/>
        </xdr:nvGrpSpPr>
        <xdr:grpSpPr>
          <a:xfrm>
            <a:off x="2226463" y="154781"/>
            <a:ext cx="11465723" cy="1059655"/>
            <a:chOff x="2226463" y="154781"/>
            <a:chExt cx="11465723" cy="105965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77CA42D2-6598-4AB3-A6B8-BEDB4CF2C9E8}"/>
                </a:ext>
              </a:extLst>
            </xdr:cNvPr>
            <xdr:cNvSpPr/>
          </xdr:nvSpPr>
          <xdr:spPr>
            <a:xfrm>
              <a:off x="2226463" y="154781"/>
              <a:ext cx="11465723" cy="105965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ECCAAF3B-A156-4B11-9AC2-5A41B52B1556}"/>
                </a:ext>
              </a:extLst>
            </xdr:cNvPr>
            <xdr:cNvSpPr/>
          </xdr:nvSpPr>
          <xdr:spPr>
            <a:xfrm>
              <a:off x="2393155" y="307182"/>
              <a:ext cx="787622" cy="740568"/>
            </a:xfrm>
            <a:prstGeom prst="roundRect">
              <a:avLst/>
            </a:prstGeom>
            <a:solidFill>
              <a:srgbClr val="1B61A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>
                <a:ln>
                  <a:noFill/>
                </a:ln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95954661-C3A4-CDC6-887B-0FFE8550B351}"/>
                </a:ext>
              </a:extLst>
            </xdr:cNvPr>
            <xdr:cNvSpPr txBox="1"/>
          </xdr:nvSpPr>
          <xdr:spPr>
            <a:xfrm>
              <a:off x="3211739" y="333373"/>
              <a:ext cx="2775819" cy="3452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b="1" kern="1200">
                  <a:solidFill>
                    <a:srgbClr val="1B61AF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Hello!</a:t>
              </a:r>
            </a:p>
          </xdr:txBody>
        </xdr:sp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705E2401-857C-49D8-BD68-004A2846816C}"/>
                </a:ext>
              </a:extLst>
            </xdr:cNvPr>
            <xdr:cNvSpPr txBox="1"/>
          </xdr:nvSpPr>
          <xdr:spPr>
            <a:xfrm>
              <a:off x="3211740" y="676273"/>
              <a:ext cx="3056498" cy="3452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400" b="1" kern="1200">
                  <a:solidFill>
                    <a:srgbClr val="7AAFEA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Acompanhamento financeiro</a:t>
              </a:r>
            </a:p>
          </xdr:txBody>
        </xdr:sp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2A0477E8-D1FA-F953-116A-6A16A1673E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10"/>
                </a:ext>
              </a:extLst>
            </a:blip>
            <a:stretch>
              <a:fillRect/>
            </a:stretch>
          </xdr:blipFill>
          <xdr:spPr>
            <a:xfrm>
              <a:off x="2473104" y="440531"/>
              <a:ext cx="637504" cy="488156"/>
            </a:xfrm>
            <a:prstGeom prst="rect">
              <a:avLst/>
            </a:prstGeom>
          </xdr:spPr>
        </xdr:pic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86FC4636-1C65-DECB-9AE6-D6988AD5C046}"/>
              </a:ext>
            </a:extLst>
          </xdr:cNvPr>
          <xdr:cNvGrpSpPr/>
        </xdr:nvGrpSpPr>
        <xdr:grpSpPr>
          <a:xfrm>
            <a:off x="8499636" y="483395"/>
            <a:ext cx="4507410" cy="385762"/>
            <a:chOff x="8499636" y="483395"/>
            <a:chExt cx="4507410" cy="385762"/>
          </a:xfrm>
        </xdr:grpSpPr>
        <xdr:sp macro="" textlink="">
          <xdr:nvSpPr>
            <xdr:cNvPr id="19" name="Retângulo: Cantos Arredondados 18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0B462121-62FD-4C2C-B340-48DC48DBB53B}"/>
                </a:ext>
              </a:extLst>
            </xdr:cNvPr>
            <xdr:cNvSpPr/>
          </xdr:nvSpPr>
          <xdr:spPr>
            <a:xfrm>
              <a:off x="8499636" y="483395"/>
              <a:ext cx="4507410" cy="38576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400" kern="1200">
                  <a:ln>
                    <a:noFill/>
                  </a:ln>
                  <a:solidFill>
                    <a:schemeClr val="bg1">
                      <a:lumMod val="65000"/>
                    </a:schemeClr>
                  </a:solidFill>
                </a:rPr>
                <a:t>Pesquisar dados...	</a:t>
              </a:r>
            </a:p>
          </xdr:txBody>
        </xdr:sp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9E5D4E91-25F7-63AA-2963-93161EE753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13"/>
                </a:ext>
              </a:extLst>
            </a:blip>
            <a:stretch>
              <a:fillRect/>
            </a:stretch>
          </xdr:blipFill>
          <xdr:spPr>
            <a:xfrm>
              <a:off x="12627127" y="547687"/>
              <a:ext cx="320513" cy="28574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438144</xdr:colOff>
      <xdr:row>7</xdr:row>
      <xdr:rowOff>130965</xdr:rowOff>
    </xdr:from>
    <xdr:to>
      <xdr:col>17</xdr:col>
      <xdr:colOff>344301</xdr:colOff>
      <xdr:row>23</xdr:row>
      <xdr:rowOff>83340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7A12C3D0-C958-F4F5-02CB-5B57820D2BEA}"/>
            </a:ext>
          </a:extLst>
        </xdr:cNvPr>
        <xdr:cNvGrpSpPr/>
      </xdr:nvGrpSpPr>
      <xdr:grpSpPr>
        <a:xfrm>
          <a:off x="7212800" y="1464465"/>
          <a:ext cx="4763907" cy="3000375"/>
          <a:chOff x="7165176" y="1464465"/>
          <a:chExt cx="4763907" cy="3000375"/>
        </a:xfrm>
      </xdr:grpSpPr>
      <xdr:grpSp>
        <xdr:nvGrpSpPr>
          <xdr:cNvPr id="55" name="Agrupar 54">
            <a:extLst>
              <a:ext uri="{FF2B5EF4-FFF2-40B4-BE49-F238E27FC236}">
                <a16:creationId xmlns:a16="http://schemas.microsoft.com/office/drawing/2014/main" id="{660FEDE9-3FEB-B722-122A-D9D72B16F816}"/>
              </a:ext>
            </a:extLst>
          </xdr:cNvPr>
          <xdr:cNvGrpSpPr/>
        </xdr:nvGrpSpPr>
        <xdr:grpSpPr>
          <a:xfrm>
            <a:off x="7165176" y="1464465"/>
            <a:ext cx="4763907" cy="3000375"/>
            <a:chOff x="7165176" y="1464465"/>
            <a:chExt cx="4763907" cy="3000375"/>
          </a:xfrm>
        </xdr:grpSpPr>
        <xdr:grpSp>
          <xdr:nvGrpSpPr>
            <xdr:cNvPr id="36" name="Agrupar 35">
              <a:extLst>
                <a:ext uri="{FF2B5EF4-FFF2-40B4-BE49-F238E27FC236}">
                  <a16:creationId xmlns:a16="http://schemas.microsoft.com/office/drawing/2014/main" id="{B6F690AD-607A-E7E5-C178-C071049757AE}"/>
                </a:ext>
              </a:extLst>
            </xdr:cNvPr>
            <xdr:cNvGrpSpPr/>
          </xdr:nvGrpSpPr>
          <xdr:grpSpPr>
            <a:xfrm>
              <a:off x="7165176" y="1464465"/>
              <a:ext cx="4763907" cy="3000375"/>
              <a:chOff x="2226464" y="404813"/>
              <a:chExt cx="4763907" cy="3000375"/>
            </a:xfrm>
          </xdr:grpSpPr>
          <xdr:grpSp>
            <xdr:nvGrpSpPr>
              <xdr:cNvPr id="43" name="Agrupar 42">
                <a:extLst>
                  <a:ext uri="{FF2B5EF4-FFF2-40B4-BE49-F238E27FC236}">
                    <a16:creationId xmlns:a16="http://schemas.microsoft.com/office/drawing/2014/main" id="{0F219917-7EC5-4318-39E5-32F97CB8A1CD}"/>
                  </a:ext>
                </a:extLst>
              </xdr:cNvPr>
              <xdr:cNvGrpSpPr/>
            </xdr:nvGrpSpPr>
            <xdr:grpSpPr>
              <a:xfrm>
                <a:off x="2226464" y="404813"/>
                <a:ext cx="4763907" cy="3000375"/>
                <a:chOff x="3262311" y="762000"/>
                <a:chExt cx="4763907" cy="3000375"/>
              </a:xfrm>
            </xdr:grpSpPr>
            <xdr:sp macro="" textlink="">
              <xdr:nvSpPr>
                <xdr:cNvPr id="45" name="Retângulo: Cantos Arredondados 44">
                  <a:extLst>
                    <a:ext uri="{FF2B5EF4-FFF2-40B4-BE49-F238E27FC236}">
                      <a16:creationId xmlns:a16="http://schemas.microsoft.com/office/drawing/2014/main" id="{00405738-8791-8A22-A5FB-DD4A8CC726B1}"/>
                    </a:ext>
                  </a:extLst>
                </xdr:cNvPr>
                <xdr:cNvSpPr/>
              </xdr:nvSpPr>
              <xdr:spPr>
                <a:xfrm>
                  <a:off x="3274218" y="881062"/>
                  <a:ext cx="4752000" cy="2881313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  <xdr:sp macro="" textlink="">
              <xdr:nvSpPr>
                <xdr:cNvPr id="49" name="Retângulo: Cantos Superiores Arredondados 48">
                  <a:extLst>
                    <a:ext uri="{FF2B5EF4-FFF2-40B4-BE49-F238E27FC236}">
                      <a16:creationId xmlns:a16="http://schemas.microsoft.com/office/drawing/2014/main" id="{557ADEA2-215E-0CEE-69B8-57F859BE0494}"/>
                    </a:ext>
                  </a:extLst>
                </xdr:cNvPr>
                <xdr:cNvSpPr/>
              </xdr:nvSpPr>
              <xdr:spPr>
                <a:xfrm>
                  <a:off x="3262311" y="762000"/>
                  <a:ext cx="4752000" cy="595312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>
                    <a:ln>
                      <a:noFill/>
                    </a:ln>
                    <a:solidFill>
                      <a:srgbClr val="1B61AF"/>
                    </a:solidFill>
                  </a:endParaRPr>
                </a:p>
              </xdr:txBody>
            </xdr:sp>
          </xdr:grpSp>
          <xdr:sp macro="" textlink="">
            <xdr:nvSpPr>
              <xdr:cNvPr id="42" name="CaixaDeTexto 41">
                <a:extLst>
                  <a:ext uri="{FF2B5EF4-FFF2-40B4-BE49-F238E27FC236}">
                    <a16:creationId xmlns:a16="http://schemas.microsoft.com/office/drawing/2014/main" id="{58026C09-32C9-92C5-7A0F-20487C15D019}"/>
                  </a:ext>
                </a:extLst>
              </xdr:cNvPr>
              <xdr:cNvSpPr txBox="1"/>
            </xdr:nvSpPr>
            <xdr:spPr>
              <a:xfrm>
                <a:off x="3083696" y="488156"/>
                <a:ext cx="1443061" cy="43345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2000" kern="1200">
                    <a:ln>
                      <a:noFill/>
                    </a:ln>
                    <a:solidFill>
                      <a:schemeClr val="bg1"/>
                    </a:solidFill>
                    <a:latin typeface="Segoe UI Light" panose="020B0502040204020203" pitchFamily="34" charset="0"/>
                    <a:cs typeface="Segoe UI Light" panose="020B0502040204020203" pitchFamily="34" charset="0"/>
                  </a:rPr>
                  <a:t>Economias</a:t>
                </a:r>
                <a:endParaRPr lang="pt-BR" sz="1600" kern="1200">
                  <a:ln>
                    <a:noFill/>
                  </a:ln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endParaRPr>
              </a:p>
            </xdr:txBody>
          </xdr:sp>
        </xdr:grpSp>
        <xdr:graphicFrame macro="">
          <xdr:nvGraphicFramePr>
            <xdr:cNvPr id="54" name="Gráfico 53">
              <a:extLst>
                <a:ext uri="{FF2B5EF4-FFF2-40B4-BE49-F238E27FC236}">
                  <a16:creationId xmlns:a16="http://schemas.microsoft.com/office/drawing/2014/main" id="{AB365A1D-C68B-46A1-B156-3EA3C33A695E}"/>
                </a:ext>
              </a:extLst>
            </xdr:cNvPr>
            <xdr:cNvGraphicFramePr>
              <a:graphicFrameLocks/>
            </xdr:cNvGraphicFramePr>
          </xdr:nvGraphicFramePr>
          <xdr:xfrm>
            <a:off x="7631905" y="2226468"/>
            <a:ext cx="3893344" cy="21788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</xdr:grpSp>
      <xdr:pic>
        <xdr:nvPicPr>
          <xdr:cNvPr id="53" name="Imagem 52">
            <a:extLst>
              <a:ext uri="{FF2B5EF4-FFF2-40B4-BE49-F238E27FC236}">
                <a16:creationId xmlns:a16="http://schemas.microsoft.com/office/drawing/2014/main" id="{03FAC657-0A2B-6E83-C486-034E2C0B5B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16"/>
              </a:ext>
            </a:extLst>
          </a:blip>
          <a:stretch>
            <a:fillRect/>
          </a:stretch>
        </xdr:blipFill>
        <xdr:spPr>
          <a:xfrm>
            <a:off x="7286625" y="1539695"/>
            <a:ext cx="821532" cy="746305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ntia" refreshedDate="45668.899307060186" createdVersion="8" refreshedVersion="8" minRefreshableVersion="3" recordCount="44" xr:uid="{5BD3A376-7A06-40EC-96F5-F2C6ACB5D7C6}">
  <cacheSource type="worksheet">
    <worksheetSource name="operacoes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16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21298706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80500-AE74-4F9E-A159-6729E92DB27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:C19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4"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hier="-1"/>
  </pageFields>
  <dataFields count="1">
    <dataField name="Soma de Valor" fld="5" baseField="6" baseItem="0" numFmtId="164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E40B5-D5FB-4732-BF81-BC0346F8A93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4:G7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4" showAll="0"/>
    <pivotField showAll="0"/>
    <pivotField showAll="0"/>
  </pivotFields>
  <rowFields count="1">
    <field x="3"/>
  </rowFields>
  <rowItems count="3">
    <i>
      <x v="6"/>
    </i>
    <i>
      <x v="10"/>
    </i>
    <i t="grand">
      <x/>
    </i>
  </rowItems>
  <colItems count="1">
    <i/>
  </colItems>
  <pageFields count="1">
    <pageField fld="2" hier="-1"/>
  </pageFields>
  <dataFields count="1">
    <dataField name="Soma de Valor" fld="5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F79D5C70-45D9-40BA-A9C6-73571B2CF0A4}" sourceName="Mês">
  <pivotTables>
    <pivotTable tabId="2" name="Tabela dinâmica2"/>
    <pivotTable tabId="2" name="Tabela dinâmica3"/>
  </pivotTables>
  <data>
    <tabular pivotCacheId="212987064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B7DB88C1-C757-4A32-9828-6F91A9FBA385}" cache="SegmentaçãodeDados_Mês" caption="Meses" style="CX 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CC088-4956-4905-B102-72910DC9EF7E}" name="operacoes" displayName="operacoes" ref="A1:H45" totalsRowShown="0" headerRowDxfId="13" dataDxfId="12">
  <autoFilter ref="A1:H45" xr:uid="{62FCC088-4956-4905-B102-72910DC9EF7E}"/>
  <tableColumns count="8">
    <tableColumn id="1" xr3:uid="{3AEB4BF1-72E8-48B5-810B-8880C8554D16}" name="Data" dataDxfId="11"/>
    <tableColumn id="8" xr3:uid="{10A7B437-E2CD-4FF7-9FF8-3144C8517CAB}" name="Mês" dataDxfId="10">
      <calculatedColumnFormula>MONTH(operacoes[[#This Row],[Data]])</calculatedColumnFormula>
    </tableColumn>
    <tableColumn id="2" xr3:uid="{678DE232-B093-4229-BC7E-01D3B48BFD04}" name="Tipo" dataDxfId="9"/>
    <tableColumn id="3" xr3:uid="{1211E1F4-B889-4174-8250-466DFD7F74B8}" name="Categoria" dataDxfId="8"/>
    <tableColumn id="4" xr3:uid="{57F63E6B-AB9B-4A5A-BF0E-8F80251614A6}" name="Descrição" dataDxfId="7"/>
    <tableColumn id="5" xr3:uid="{69345243-AFB9-4AE6-9E01-77263AA9D052}" name="Valor" dataDxfId="6"/>
    <tableColumn id="6" xr3:uid="{7EF75D82-D9CA-4802-A57B-7128FD8DBC8F}" name="Operação Bancária" dataDxfId="5"/>
    <tableColumn id="7" xr3:uid="{1B6D1146-3D2A-4A27-9DF4-E6362E9FB42A}" name="Status" dataDxfId="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CA2B7-AEDE-45CD-8E07-37BA39740676}" name="Tabela2" displayName="Tabela2" ref="C6:D20" totalsRowShown="0" headerRowDxfId="3">
  <autoFilter ref="C6:D20" xr:uid="{6BFCA2B7-AEDE-45CD-8E07-37BA39740676}"/>
  <tableColumns count="2">
    <tableColumn id="1" xr3:uid="{4C020B6C-315F-4CBA-94CC-0AD2726BDBF9}" name="Data de Lançamento" dataDxfId="2" totalsRowDxfId="1"/>
    <tableColumn id="2" xr3:uid="{F1088BF6-8667-49C6-949B-8FB3EAF932DD}" name="Depósito Reservado" totalsRowDxfId="0" dataCellStyle="Moeda" totalsRow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B25E-5AB6-4943-BB2F-DEB46B2B16BC}">
  <sheetPr>
    <tabColor rgb="FFFFC000"/>
  </sheetPr>
  <dimension ref="A1:H45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  <col min="3" max="3" width="9.42578125" customWidth="1"/>
    <col min="4" max="4" width="20.85546875" bestFit="1" customWidth="1"/>
    <col min="5" max="5" width="34.42578125" bestFit="1" customWidth="1"/>
    <col min="6" max="6" width="10.7109375" bestFit="1" customWidth="1"/>
    <col min="7" max="7" width="19.85546875" bestFit="1" customWidth="1"/>
    <col min="8" max="8" width="9.7109375" bestFit="1" customWidth="1"/>
  </cols>
  <sheetData>
    <row r="1" spans="1:8" x14ac:dyDescent="0.25">
      <c r="A1" t="s">
        <v>0</v>
      </c>
      <c r="B1" s="9" t="s">
        <v>75</v>
      </c>
      <c r="C1" t="s">
        <v>1</v>
      </c>
      <c r="D1" t="s">
        <v>4</v>
      </c>
      <c r="E1" t="s">
        <v>2</v>
      </c>
      <c r="F1" t="s">
        <v>3</v>
      </c>
      <c r="G1" t="s">
        <v>5</v>
      </c>
      <c r="H1" t="s">
        <v>6</v>
      </c>
    </row>
    <row r="2" spans="1:8" x14ac:dyDescent="0.25">
      <c r="A2" s="1">
        <v>45505</v>
      </c>
      <c r="B2" s="10">
        <f>MONTH(operacoes[[#This Row],[Data]])</f>
        <v>8</v>
      </c>
      <c r="C2" s="2" t="s">
        <v>7</v>
      </c>
      <c r="D2" s="2" t="s">
        <v>8</v>
      </c>
      <c r="E2" s="2" t="s">
        <v>9</v>
      </c>
      <c r="F2" s="3">
        <v>5000</v>
      </c>
      <c r="G2" s="2" t="s">
        <v>10</v>
      </c>
      <c r="H2" s="2" t="s">
        <v>11</v>
      </c>
    </row>
    <row r="3" spans="1:8" x14ac:dyDescent="0.25">
      <c r="A3" s="1">
        <v>45505</v>
      </c>
      <c r="B3" s="10">
        <f>MONTH(operacoes[[#This Row],[Data]])</f>
        <v>8</v>
      </c>
      <c r="C3" s="2" t="s">
        <v>12</v>
      </c>
      <c r="D3" s="2" t="s">
        <v>13</v>
      </c>
      <c r="E3" s="2" t="s">
        <v>14</v>
      </c>
      <c r="F3" s="3">
        <v>550</v>
      </c>
      <c r="G3" s="2" t="s">
        <v>15</v>
      </c>
      <c r="H3" s="2" t="s">
        <v>16</v>
      </c>
    </row>
    <row r="4" spans="1:8" x14ac:dyDescent="0.25">
      <c r="A4" s="1">
        <v>45507</v>
      </c>
      <c r="B4" s="10">
        <f>MONTH(operacoes[[#This Row],[Data]])</f>
        <v>8</v>
      </c>
      <c r="C4" s="2" t="s">
        <v>12</v>
      </c>
      <c r="D4" s="2" t="s">
        <v>17</v>
      </c>
      <c r="E4" s="2" t="s">
        <v>18</v>
      </c>
      <c r="F4" s="3">
        <v>300</v>
      </c>
      <c r="G4" s="2" t="s">
        <v>19</v>
      </c>
      <c r="H4" s="2" t="s">
        <v>20</v>
      </c>
    </row>
    <row r="5" spans="1:8" x14ac:dyDescent="0.25">
      <c r="A5" s="1">
        <v>45509</v>
      </c>
      <c r="B5" s="10">
        <f>MONTH(operacoes[[#This Row],[Data]])</f>
        <v>8</v>
      </c>
      <c r="C5" s="2" t="s">
        <v>12</v>
      </c>
      <c r="D5" s="2" t="s">
        <v>21</v>
      </c>
      <c r="E5" s="2" t="s">
        <v>22</v>
      </c>
      <c r="F5" s="3">
        <v>120</v>
      </c>
      <c r="G5" s="2" t="s">
        <v>19</v>
      </c>
      <c r="H5" s="2" t="s">
        <v>20</v>
      </c>
    </row>
    <row r="6" spans="1:8" x14ac:dyDescent="0.25">
      <c r="A6" s="1">
        <v>45511</v>
      </c>
      <c r="B6" s="10">
        <f>MONTH(operacoes[[#This Row],[Data]])</f>
        <v>8</v>
      </c>
      <c r="C6" s="2" t="s">
        <v>12</v>
      </c>
      <c r="D6" s="2" t="s">
        <v>23</v>
      </c>
      <c r="E6" s="2" t="s">
        <v>24</v>
      </c>
      <c r="F6" s="3">
        <v>250</v>
      </c>
      <c r="G6" s="2" t="s">
        <v>10</v>
      </c>
      <c r="H6" s="2" t="s">
        <v>20</v>
      </c>
    </row>
    <row r="7" spans="1:8" x14ac:dyDescent="0.25">
      <c r="A7" s="1">
        <v>45514</v>
      </c>
      <c r="B7" s="10">
        <f>MONTH(operacoes[[#This Row],[Data]])</f>
        <v>8</v>
      </c>
      <c r="C7" s="2" t="s">
        <v>12</v>
      </c>
      <c r="D7" s="2" t="s">
        <v>25</v>
      </c>
      <c r="E7" s="2" t="s">
        <v>26</v>
      </c>
      <c r="F7" s="3">
        <v>400</v>
      </c>
      <c r="G7" s="2" t="s">
        <v>15</v>
      </c>
      <c r="H7" s="2" t="s">
        <v>16</v>
      </c>
    </row>
    <row r="8" spans="1:8" x14ac:dyDescent="0.25">
      <c r="A8" s="1">
        <v>45516</v>
      </c>
      <c r="B8" s="10">
        <f>MONTH(operacoes[[#This Row],[Data]])</f>
        <v>8</v>
      </c>
      <c r="C8" s="2" t="s">
        <v>12</v>
      </c>
      <c r="D8" s="2" t="s">
        <v>27</v>
      </c>
      <c r="E8" s="2" t="s">
        <v>28</v>
      </c>
      <c r="F8" s="3">
        <v>600</v>
      </c>
      <c r="G8" s="2" t="s">
        <v>19</v>
      </c>
      <c r="H8" s="2" t="s">
        <v>16</v>
      </c>
    </row>
    <row r="9" spans="1:8" x14ac:dyDescent="0.25">
      <c r="A9" s="1">
        <v>45519</v>
      </c>
      <c r="B9" s="10">
        <f>MONTH(operacoes[[#This Row],[Data]])</f>
        <v>8</v>
      </c>
      <c r="C9" s="2" t="s">
        <v>7</v>
      </c>
      <c r="D9" s="2" t="s">
        <v>29</v>
      </c>
      <c r="E9" s="2" t="s">
        <v>30</v>
      </c>
      <c r="F9" s="3">
        <v>800</v>
      </c>
      <c r="G9" s="2" t="s">
        <v>10</v>
      </c>
      <c r="H9" s="2" t="s">
        <v>11</v>
      </c>
    </row>
    <row r="10" spans="1:8" x14ac:dyDescent="0.25">
      <c r="A10" s="1">
        <v>45519</v>
      </c>
      <c r="B10" s="10">
        <f>MONTH(operacoes[[#This Row],[Data]])</f>
        <v>8</v>
      </c>
      <c r="C10" s="2" t="s">
        <v>12</v>
      </c>
      <c r="D10" s="2" t="s">
        <v>31</v>
      </c>
      <c r="E10" s="2" t="s">
        <v>32</v>
      </c>
      <c r="F10" s="3">
        <v>150</v>
      </c>
      <c r="G10" s="2" t="s">
        <v>10</v>
      </c>
      <c r="H10" s="2" t="s">
        <v>20</v>
      </c>
    </row>
    <row r="11" spans="1:8" x14ac:dyDescent="0.25">
      <c r="A11" s="1">
        <v>45522</v>
      </c>
      <c r="B11" s="10">
        <f>MONTH(operacoes[[#This Row],[Data]])</f>
        <v>8</v>
      </c>
      <c r="C11" s="2" t="s">
        <v>12</v>
      </c>
      <c r="D11" s="2" t="s">
        <v>33</v>
      </c>
      <c r="E11" s="2" t="s">
        <v>34</v>
      </c>
      <c r="F11" s="3">
        <v>1200</v>
      </c>
      <c r="G11" s="2" t="s">
        <v>19</v>
      </c>
      <c r="H11" s="2" t="s">
        <v>16</v>
      </c>
    </row>
    <row r="12" spans="1:8" x14ac:dyDescent="0.25">
      <c r="A12" s="1">
        <v>45524</v>
      </c>
      <c r="B12" s="10">
        <f>MONTH(operacoes[[#This Row],[Data]])</f>
        <v>8</v>
      </c>
      <c r="C12" s="2" t="s">
        <v>12</v>
      </c>
      <c r="D12" s="2" t="s">
        <v>35</v>
      </c>
      <c r="E12" s="2" t="s">
        <v>36</v>
      </c>
      <c r="F12" s="3">
        <v>450</v>
      </c>
      <c r="G12" s="2" t="s">
        <v>15</v>
      </c>
      <c r="H12" s="2" t="s">
        <v>20</v>
      </c>
    </row>
    <row r="13" spans="1:8" x14ac:dyDescent="0.25">
      <c r="A13" s="1">
        <v>45526</v>
      </c>
      <c r="B13" s="10">
        <f>MONTH(operacoes[[#This Row],[Data]])</f>
        <v>8</v>
      </c>
      <c r="C13" s="2" t="s">
        <v>12</v>
      </c>
      <c r="D13" s="2" t="s">
        <v>37</v>
      </c>
      <c r="E13" s="2" t="s">
        <v>38</v>
      </c>
      <c r="F13" s="3">
        <v>180</v>
      </c>
      <c r="G13" s="2" t="s">
        <v>10</v>
      </c>
      <c r="H13" s="2" t="s">
        <v>16</v>
      </c>
    </row>
    <row r="14" spans="1:8" x14ac:dyDescent="0.25">
      <c r="A14" s="1">
        <v>45528</v>
      </c>
      <c r="B14" s="10">
        <f>MONTH(operacoes[[#This Row],[Data]])</f>
        <v>8</v>
      </c>
      <c r="C14" s="2" t="s">
        <v>12</v>
      </c>
      <c r="D14" s="2" t="s">
        <v>39</v>
      </c>
      <c r="E14" s="2" t="s">
        <v>40</v>
      </c>
      <c r="F14" s="3">
        <v>80</v>
      </c>
      <c r="G14" s="2" t="s">
        <v>15</v>
      </c>
      <c r="H14" s="2" t="s">
        <v>20</v>
      </c>
    </row>
    <row r="15" spans="1:8" x14ac:dyDescent="0.25">
      <c r="A15" s="1">
        <v>45532</v>
      </c>
      <c r="B15" s="10">
        <f>MONTH(operacoes[[#This Row],[Data]])</f>
        <v>8</v>
      </c>
      <c r="C15" s="2" t="s">
        <v>12</v>
      </c>
      <c r="D15" s="2" t="s">
        <v>41</v>
      </c>
      <c r="E15" s="2" t="s">
        <v>42</v>
      </c>
      <c r="F15" s="3">
        <v>200</v>
      </c>
      <c r="G15" s="2" t="s">
        <v>15</v>
      </c>
      <c r="H15" s="2" t="s">
        <v>20</v>
      </c>
    </row>
    <row r="16" spans="1:8" x14ac:dyDescent="0.25">
      <c r="A16" s="1">
        <v>45534</v>
      </c>
      <c r="B16" s="10">
        <f>MONTH(operacoes[[#This Row],[Data]])</f>
        <v>8</v>
      </c>
      <c r="C16" s="2" t="s">
        <v>12</v>
      </c>
      <c r="D16" s="2" t="s">
        <v>43</v>
      </c>
      <c r="E16" s="2" t="s">
        <v>44</v>
      </c>
      <c r="F16" s="3">
        <v>750</v>
      </c>
      <c r="G16" s="2" t="s">
        <v>10</v>
      </c>
      <c r="H16" s="2" t="s">
        <v>16</v>
      </c>
    </row>
    <row r="17" spans="1:8" x14ac:dyDescent="0.25">
      <c r="A17" s="1">
        <v>45535</v>
      </c>
      <c r="B17" s="10">
        <f>MONTH(operacoes[[#This Row],[Data]])</f>
        <v>8</v>
      </c>
      <c r="C17" s="2" t="s">
        <v>12</v>
      </c>
      <c r="D17" s="2" t="s">
        <v>45</v>
      </c>
      <c r="E17" s="2" t="s">
        <v>46</v>
      </c>
      <c r="F17" s="3">
        <v>350</v>
      </c>
      <c r="G17" s="2" t="s">
        <v>19</v>
      </c>
      <c r="H17" s="2" t="s">
        <v>20</v>
      </c>
    </row>
    <row r="18" spans="1:8" x14ac:dyDescent="0.25">
      <c r="A18" s="1">
        <v>45536</v>
      </c>
      <c r="B18" s="10">
        <f>MONTH(operacoes[[#This Row],[Data]])</f>
        <v>9</v>
      </c>
      <c r="C18" s="2" t="s">
        <v>7</v>
      </c>
      <c r="D18" s="2" t="s">
        <v>8</v>
      </c>
      <c r="E18" s="2" t="s">
        <v>9</v>
      </c>
      <c r="F18" s="3">
        <v>5000</v>
      </c>
      <c r="G18" s="2" t="s">
        <v>10</v>
      </c>
      <c r="H18" s="2" t="s">
        <v>11</v>
      </c>
    </row>
    <row r="19" spans="1:8" x14ac:dyDescent="0.25">
      <c r="A19" s="1">
        <v>45537</v>
      </c>
      <c r="B19" s="10">
        <f>MONTH(operacoes[[#This Row],[Data]])</f>
        <v>9</v>
      </c>
      <c r="C19" s="2" t="s">
        <v>12</v>
      </c>
      <c r="D19" s="2" t="s">
        <v>13</v>
      </c>
      <c r="E19" s="2" t="s">
        <v>14</v>
      </c>
      <c r="F19" s="3">
        <v>450</v>
      </c>
      <c r="G19" s="2" t="s">
        <v>15</v>
      </c>
      <c r="H19" s="2" t="s">
        <v>16</v>
      </c>
    </row>
    <row r="20" spans="1:8" x14ac:dyDescent="0.25">
      <c r="A20" s="1">
        <v>45540</v>
      </c>
      <c r="B20" s="10">
        <f>MONTH(operacoes[[#This Row],[Data]])</f>
        <v>9</v>
      </c>
      <c r="C20" s="2" t="s">
        <v>12</v>
      </c>
      <c r="D20" s="2" t="s">
        <v>17</v>
      </c>
      <c r="E20" s="2" t="s">
        <v>18</v>
      </c>
      <c r="F20" s="3">
        <v>300</v>
      </c>
      <c r="G20" s="2" t="s">
        <v>15</v>
      </c>
      <c r="H20" s="2" t="s">
        <v>20</v>
      </c>
    </row>
    <row r="21" spans="1:8" x14ac:dyDescent="0.25">
      <c r="A21" s="1">
        <v>45543</v>
      </c>
      <c r="B21" s="10">
        <f>MONTH(operacoes[[#This Row],[Data]])</f>
        <v>9</v>
      </c>
      <c r="C21" s="2" t="s">
        <v>12</v>
      </c>
      <c r="D21" s="2" t="s">
        <v>21</v>
      </c>
      <c r="E21" s="2" t="s">
        <v>65</v>
      </c>
      <c r="F21" s="3">
        <v>200</v>
      </c>
      <c r="G21" s="2" t="s">
        <v>10</v>
      </c>
      <c r="H21" s="2" t="s">
        <v>20</v>
      </c>
    </row>
    <row r="22" spans="1:8" x14ac:dyDescent="0.25">
      <c r="A22" s="1">
        <v>45546</v>
      </c>
      <c r="B22" s="10">
        <f>MONTH(operacoes[[#This Row],[Data]])</f>
        <v>9</v>
      </c>
      <c r="C22" s="2" t="s">
        <v>12</v>
      </c>
      <c r="D22" s="2" t="s">
        <v>23</v>
      </c>
      <c r="E22" s="2" t="s">
        <v>66</v>
      </c>
      <c r="F22" s="3">
        <v>600</v>
      </c>
      <c r="G22" s="2" t="s">
        <v>15</v>
      </c>
      <c r="H22" s="2" t="s">
        <v>16</v>
      </c>
    </row>
    <row r="23" spans="1:8" x14ac:dyDescent="0.25">
      <c r="A23" s="1">
        <v>45549</v>
      </c>
      <c r="B23" s="10">
        <f>MONTH(operacoes[[#This Row],[Data]])</f>
        <v>9</v>
      </c>
      <c r="C23" s="2" t="s">
        <v>12</v>
      </c>
      <c r="D23" s="2" t="s">
        <v>25</v>
      </c>
      <c r="E23" s="2" t="s">
        <v>26</v>
      </c>
      <c r="F23" s="3">
        <v>350</v>
      </c>
      <c r="G23" s="2" t="s">
        <v>10</v>
      </c>
      <c r="H23" s="2" t="s">
        <v>20</v>
      </c>
    </row>
    <row r="24" spans="1:8" x14ac:dyDescent="0.25">
      <c r="A24" s="1">
        <v>45552</v>
      </c>
      <c r="B24" s="10">
        <f>MONTH(operacoes[[#This Row],[Data]])</f>
        <v>9</v>
      </c>
      <c r="C24" s="2" t="s">
        <v>12</v>
      </c>
      <c r="D24" s="2" t="s">
        <v>27</v>
      </c>
      <c r="E24" s="2" t="s">
        <v>67</v>
      </c>
      <c r="F24" s="3">
        <v>500</v>
      </c>
      <c r="G24" s="2" t="s">
        <v>19</v>
      </c>
      <c r="H24" s="2" t="s">
        <v>16</v>
      </c>
    </row>
    <row r="25" spans="1:8" x14ac:dyDescent="0.25">
      <c r="A25" s="1">
        <v>45555</v>
      </c>
      <c r="B25" s="10">
        <f>MONTH(operacoes[[#This Row],[Data]])</f>
        <v>9</v>
      </c>
      <c r="C25" s="2" t="s">
        <v>7</v>
      </c>
      <c r="D25" s="2" t="s">
        <v>47</v>
      </c>
      <c r="E25" s="2" t="s">
        <v>48</v>
      </c>
      <c r="F25" s="3">
        <v>1200</v>
      </c>
      <c r="G25" s="2" t="s">
        <v>10</v>
      </c>
      <c r="H25" s="2" t="s">
        <v>11</v>
      </c>
    </row>
    <row r="26" spans="1:8" x14ac:dyDescent="0.25">
      <c r="A26" s="1">
        <v>45555</v>
      </c>
      <c r="B26" s="10">
        <f>MONTH(operacoes[[#This Row],[Data]])</f>
        <v>9</v>
      </c>
      <c r="C26" s="2" t="s">
        <v>12</v>
      </c>
      <c r="D26" s="2" t="s">
        <v>31</v>
      </c>
      <c r="E26" s="2" t="s">
        <v>68</v>
      </c>
      <c r="F26" s="3">
        <v>800</v>
      </c>
      <c r="G26" s="2" t="s">
        <v>10</v>
      </c>
      <c r="H26" s="2" t="s">
        <v>20</v>
      </c>
    </row>
    <row r="27" spans="1:8" x14ac:dyDescent="0.25">
      <c r="A27" s="1">
        <v>45558</v>
      </c>
      <c r="B27" s="10">
        <f>MONTH(operacoes[[#This Row],[Data]])</f>
        <v>9</v>
      </c>
      <c r="C27" s="2" t="s">
        <v>12</v>
      </c>
      <c r="D27" s="2" t="s">
        <v>33</v>
      </c>
      <c r="E27" s="2" t="s">
        <v>69</v>
      </c>
      <c r="F27" s="3">
        <v>1500</v>
      </c>
      <c r="G27" s="2" t="s">
        <v>19</v>
      </c>
      <c r="H27" s="2" t="s">
        <v>16</v>
      </c>
    </row>
    <row r="28" spans="1:8" x14ac:dyDescent="0.25">
      <c r="A28" s="1">
        <v>45561</v>
      </c>
      <c r="B28" s="10">
        <f>MONTH(operacoes[[#This Row],[Data]])</f>
        <v>9</v>
      </c>
      <c r="C28" s="2" t="s">
        <v>12</v>
      </c>
      <c r="D28" s="2" t="s">
        <v>49</v>
      </c>
      <c r="E28" s="2" t="s">
        <v>70</v>
      </c>
      <c r="F28" s="3">
        <v>250</v>
      </c>
      <c r="G28" s="2" t="s">
        <v>15</v>
      </c>
      <c r="H28" s="2" t="s">
        <v>20</v>
      </c>
    </row>
    <row r="29" spans="1:8" x14ac:dyDescent="0.25">
      <c r="A29" s="1">
        <v>45564</v>
      </c>
      <c r="B29" s="10">
        <f>MONTH(operacoes[[#This Row],[Data]])</f>
        <v>9</v>
      </c>
      <c r="C29" s="2" t="s">
        <v>12</v>
      </c>
      <c r="D29" s="2" t="s">
        <v>37</v>
      </c>
      <c r="E29" s="2" t="s">
        <v>71</v>
      </c>
      <c r="F29" s="3">
        <v>400</v>
      </c>
      <c r="G29" s="2" t="s">
        <v>19</v>
      </c>
      <c r="H29" s="2" t="s">
        <v>16</v>
      </c>
    </row>
    <row r="30" spans="1:8" x14ac:dyDescent="0.25">
      <c r="A30" s="1">
        <v>45566</v>
      </c>
      <c r="B30" s="10">
        <f>MONTH(operacoes[[#This Row],[Data]])</f>
        <v>10</v>
      </c>
      <c r="C30" s="2" t="s">
        <v>7</v>
      </c>
      <c r="D30" s="2" t="s">
        <v>8</v>
      </c>
      <c r="E30" s="2" t="s">
        <v>9</v>
      </c>
      <c r="F30" s="3">
        <v>5000</v>
      </c>
      <c r="G30" s="2" t="s">
        <v>10</v>
      </c>
      <c r="H30" s="2" t="s">
        <v>11</v>
      </c>
    </row>
    <row r="31" spans="1:8" x14ac:dyDescent="0.25">
      <c r="A31" s="1">
        <v>45566</v>
      </c>
      <c r="B31" s="10">
        <f>MONTH(operacoes[[#This Row],[Data]])</f>
        <v>10</v>
      </c>
      <c r="C31" s="2" t="s">
        <v>12</v>
      </c>
      <c r="D31" s="2" t="s">
        <v>13</v>
      </c>
      <c r="E31" s="2" t="s">
        <v>14</v>
      </c>
      <c r="F31" s="3">
        <v>600</v>
      </c>
      <c r="G31" s="2" t="s">
        <v>15</v>
      </c>
      <c r="H31" s="2" t="s">
        <v>16</v>
      </c>
    </row>
    <row r="32" spans="1:8" x14ac:dyDescent="0.25">
      <c r="A32" s="1">
        <v>45568</v>
      </c>
      <c r="B32" s="10">
        <f>MONTH(operacoes[[#This Row],[Data]])</f>
        <v>10</v>
      </c>
      <c r="C32" s="2" t="s">
        <v>12</v>
      </c>
      <c r="D32" s="2" t="s">
        <v>17</v>
      </c>
      <c r="E32" s="2" t="s">
        <v>50</v>
      </c>
      <c r="F32" s="3">
        <v>200</v>
      </c>
      <c r="G32" s="2" t="s">
        <v>19</v>
      </c>
      <c r="H32" s="2" t="s">
        <v>20</v>
      </c>
    </row>
    <row r="33" spans="1:8" x14ac:dyDescent="0.25">
      <c r="A33" s="1">
        <v>45570</v>
      </c>
      <c r="B33" s="10">
        <f>MONTH(operacoes[[#This Row],[Data]])</f>
        <v>10</v>
      </c>
      <c r="C33" s="2" t="s">
        <v>12</v>
      </c>
      <c r="D33" s="2" t="s">
        <v>21</v>
      </c>
      <c r="E33" s="2" t="s">
        <v>51</v>
      </c>
      <c r="F33" s="3">
        <v>180</v>
      </c>
      <c r="G33" s="2" t="s">
        <v>10</v>
      </c>
      <c r="H33" s="2" t="s">
        <v>20</v>
      </c>
    </row>
    <row r="34" spans="1:8" x14ac:dyDescent="0.25">
      <c r="A34" s="1">
        <v>45573</v>
      </c>
      <c r="B34" s="10">
        <f>MONTH(operacoes[[#This Row],[Data]])</f>
        <v>10</v>
      </c>
      <c r="C34" s="2" t="s">
        <v>12</v>
      </c>
      <c r="D34" s="2" t="s">
        <v>23</v>
      </c>
      <c r="E34" s="2" t="s">
        <v>52</v>
      </c>
      <c r="F34" s="3">
        <v>120</v>
      </c>
      <c r="G34" s="2" t="s">
        <v>15</v>
      </c>
      <c r="H34" s="2" t="s">
        <v>16</v>
      </c>
    </row>
    <row r="35" spans="1:8" x14ac:dyDescent="0.25">
      <c r="A35" s="1">
        <v>45575</v>
      </c>
      <c r="B35" s="10">
        <f>MONTH(operacoes[[#This Row],[Data]])</f>
        <v>10</v>
      </c>
      <c r="C35" s="2" t="s">
        <v>12</v>
      </c>
      <c r="D35" s="2" t="s">
        <v>25</v>
      </c>
      <c r="E35" s="2" t="s">
        <v>53</v>
      </c>
      <c r="F35" s="3">
        <v>350</v>
      </c>
      <c r="G35" s="2" t="s">
        <v>19</v>
      </c>
      <c r="H35" s="2" t="s">
        <v>16</v>
      </c>
    </row>
    <row r="36" spans="1:8" x14ac:dyDescent="0.25">
      <c r="A36" s="1">
        <v>45578</v>
      </c>
      <c r="B36" s="10">
        <f>MONTH(operacoes[[#This Row],[Data]])</f>
        <v>10</v>
      </c>
      <c r="C36" s="2" t="s">
        <v>12</v>
      </c>
      <c r="D36" s="2" t="s">
        <v>27</v>
      </c>
      <c r="E36" s="2" t="s">
        <v>54</v>
      </c>
      <c r="F36" s="3">
        <v>400</v>
      </c>
      <c r="G36" s="2" t="s">
        <v>10</v>
      </c>
      <c r="H36" s="2" t="s">
        <v>20</v>
      </c>
    </row>
    <row r="37" spans="1:8" x14ac:dyDescent="0.25">
      <c r="A37" s="1">
        <v>45580</v>
      </c>
      <c r="B37" s="10">
        <f>MONTH(operacoes[[#This Row],[Data]])</f>
        <v>10</v>
      </c>
      <c r="C37" s="2" t="s">
        <v>12</v>
      </c>
      <c r="D37" s="2" t="s">
        <v>31</v>
      </c>
      <c r="E37" s="2" t="s">
        <v>55</v>
      </c>
      <c r="F37" s="3">
        <v>450</v>
      </c>
      <c r="G37" s="2" t="s">
        <v>15</v>
      </c>
      <c r="H37" s="2" t="s">
        <v>20</v>
      </c>
    </row>
    <row r="38" spans="1:8" x14ac:dyDescent="0.25">
      <c r="A38" s="1">
        <v>45583</v>
      </c>
      <c r="B38" s="10">
        <f>MONTH(operacoes[[#This Row],[Data]])</f>
        <v>10</v>
      </c>
      <c r="C38" s="2" t="s">
        <v>7</v>
      </c>
      <c r="D38" s="2" t="s">
        <v>56</v>
      </c>
      <c r="E38" s="2" t="s">
        <v>57</v>
      </c>
      <c r="F38" s="3">
        <v>1500</v>
      </c>
      <c r="G38" s="2" t="s">
        <v>10</v>
      </c>
      <c r="H38" s="2" t="s">
        <v>11</v>
      </c>
    </row>
    <row r="39" spans="1:8" x14ac:dyDescent="0.25">
      <c r="A39" s="1">
        <v>45583</v>
      </c>
      <c r="B39" s="10">
        <f>MONTH(operacoes[[#This Row],[Data]])</f>
        <v>10</v>
      </c>
      <c r="C39" s="2" t="s">
        <v>12</v>
      </c>
      <c r="D39" s="2" t="s">
        <v>33</v>
      </c>
      <c r="E39" s="2" t="s">
        <v>58</v>
      </c>
      <c r="F39" s="3">
        <v>300</v>
      </c>
      <c r="G39" s="2" t="s">
        <v>19</v>
      </c>
      <c r="H39" s="2" t="s">
        <v>16</v>
      </c>
    </row>
    <row r="40" spans="1:8" x14ac:dyDescent="0.25">
      <c r="A40" s="1">
        <v>45585</v>
      </c>
      <c r="B40" s="10">
        <f>MONTH(operacoes[[#This Row],[Data]])</f>
        <v>10</v>
      </c>
      <c r="C40" s="2" t="s">
        <v>12</v>
      </c>
      <c r="D40" s="2" t="s">
        <v>35</v>
      </c>
      <c r="E40" s="2" t="s">
        <v>59</v>
      </c>
      <c r="F40" s="3">
        <v>800</v>
      </c>
      <c r="G40" s="2" t="s">
        <v>10</v>
      </c>
      <c r="H40" s="2" t="s">
        <v>20</v>
      </c>
    </row>
    <row r="41" spans="1:8" x14ac:dyDescent="0.25">
      <c r="A41" s="1">
        <v>45587</v>
      </c>
      <c r="B41" s="10">
        <f>MONTH(operacoes[[#This Row],[Data]])</f>
        <v>10</v>
      </c>
      <c r="C41" s="2" t="s">
        <v>12</v>
      </c>
      <c r="D41" s="2" t="s">
        <v>37</v>
      </c>
      <c r="E41" s="2" t="s">
        <v>60</v>
      </c>
      <c r="F41" s="3">
        <v>250</v>
      </c>
      <c r="G41" s="2" t="s">
        <v>19</v>
      </c>
      <c r="H41" s="2" t="s">
        <v>16</v>
      </c>
    </row>
    <row r="42" spans="1:8" x14ac:dyDescent="0.25">
      <c r="A42" s="1">
        <v>45589</v>
      </c>
      <c r="B42" s="10">
        <f>MONTH(operacoes[[#This Row],[Data]])</f>
        <v>10</v>
      </c>
      <c r="C42" s="2" t="s">
        <v>12</v>
      </c>
      <c r="D42" s="2" t="s">
        <v>41</v>
      </c>
      <c r="E42" s="2" t="s">
        <v>61</v>
      </c>
      <c r="F42" s="3">
        <v>150</v>
      </c>
      <c r="G42" s="2" t="s">
        <v>15</v>
      </c>
      <c r="H42" s="2" t="s">
        <v>20</v>
      </c>
    </row>
    <row r="43" spans="1:8" x14ac:dyDescent="0.25">
      <c r="A43" s="1">
        <v>45591</v>
      </c>
      <c r="B43" s="10">
        <f>MONTH(operacoes[[#This Row],[Data]])</f>
        <v>10</v>
      </c>
      <c r="C43" s="2" t="s">
        <v>12</v>
      </c>
      <c r="D43" s="2" t="s">
        <v>39</v>
      </c>
      <c r="E43" s="2" t="s">
        <v>62</v>
      </c>
      <c r="F43" s="3">
        <v>250</v>
      </c>
      <c r="G43" s="2" t="s">
        <v>10</v>
      </c>
      <c r="H43" s="2" t="s">
        <v>16</v>
      </c>
    </row>
    <row r="44" spans="1:8" x14ac:dyDescent="0.25">
      <c r="A44" s="1">
        <v>45595</v>
      </c>
      <c r="B44" s="10">
        <f>MONTH(operacoes[[#This Row],[Data]])</f>
        <v>10</v>
      </c>
      <c r="C44" s="2" t="s">
        <v>12</v>
      </c>
      <c r="D44" s="2" t="s">
        <v>45</v>
      </c>
      <c r="E44" s="2" t="s">
        <v>63</v>
      </c>
      <c r="F44" s="3">
        <v>220</v>
      </c>
      <c r="G44" s="2" t="s">
        <v>10</v>
      </c>
      <c r="H44" s="2" t="s">
        <v>16</v>
      </c>
    </row>
    <row r="45" spans="1:8" x14ac:dyDescent="0.25">
      <c r="A45" s="1">
        <v>45596</v>
      </c>
      <c r="B45" s="10">
        <f>MONTH(operacoes[[#This Row],[Data]])</f>
        <v>10</v>
      </c>
      <c r="C45" s="2" t="s">
        <v>12</v>
      </c>
      <c r="D45" s="2" t="s">
        <v>43</v>
      </c>
      <c r="E45" s="2" t="s">
        <v>64</v>
      </c>
      <c r="F45" s="3">
        <v>500</v>
      </c>
      <c r="G45" s="2" t="s">
        <v>19</v>
      </c>
      <c r="H45" s="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4449-CDDF-4199-A81E-5278F96E6E95}">
  <sheetPr>
    <tabColor rgb="FFFFFF00"/>
  </sheetPr>
  <dimension ref="C1:D20"/>
  <sheetViews>
    <sheetView zoomScale="80" zoomScaleNormal="80" workbookViewId="0"/>
  </sheetViews>
  <sheetFormatPr defaultRowHeight="15" x14ac:dyDescent="0.25"/>
  <cols>
    <col min="3" max="3" width="22.28515625" bestFit="1" customWidth="1"/>
    <col min="4" max="4" width="22.140625" bestFit="1" customWidth="1"/>
  </cols>
  <sheetData>
    <row r="1" spans="3:4" s="8" customFormat="1" ht="64.5" customHeight="1" x14ac:dyDescent="0.25"/>
    <row r="3" spans="3:4" x14ac:dyDescent="0.25">
      <c r="C3" s="14" t="s">
        <v>77</v>
      </c>
      <c r="D3" s="12">
        <f>SUM(Tabela2[Depósito Reservado])</f>
        <v>4977</v>
      </c>
    </row>
    <row r="4" spans="3:4" x14ac:dyDescent="0.25">
      <c r="C4" s="14" t="s">
        <v>78</v>
      </c>
      <c r="D4" s="12">
        <v>20000</v>
      </c>
    </row>
    <row r="6" spans="3:4" x14ac:dyDescent="0.25">
      <c r="C6" s="11" t="s">
        <v>79</v>
      </c>
      <c r="D6" s="11" t="s">
        <v>76</v>
      </c>
    </row>
    <row r="7" spans="3:4" x14ac:dyDescent="0.25">
      <c r="C7" s="13">
        <v>45669</v>
      </c>
      <c r="D7" s="12">
        <v>50</v>
      </c>
    </row>
    <row r="8" spans="3:4" x14ac:dyDescent="0.25">
      <c r="C8" s="13">
        <v>45670</v>
      </c>
      <c r="D8" s="12">
        <v>159</v>
      </c>
    </row>
    <row r="9" spans="3:4" x14ac:dyDescent="0.25">
      <c r="C9" s="13">
        <v>45671</v>
      </c>
      <c r="D9" s="12">
        <v>475</v>
      </c>
    </row>
    <row r="10" spans="3:4" x14ac:dyDescent="0.25">
      <c r="C10" s="13">
        <v>45672</v>
      </c>
      <c r="D10" s="12">
        <v>390</v>
      </c>
    </row>
    <row r="11" spans="3:4" x14ac:dyDescent="0.25">
      <c r="C11" s="13">
        <v>45673</v>
      </c>
      <c r="D11" s="12">
        <v>332</v>
      </c>
    </row>
    <row r="12" spans="3:4" x14ac:dyDescent="0.25">
      <c r="C12" s="13">
        <v>45674</v>
      </c>
      <c r="D12" s="12">
        <v>315</v>
      </c>
    </row>
    <row r="13" spans="3:4" x14ac:dyDescent="0.25">
      <c r="C13" s="13">
        <v>45675</v>
      </c>
      <c r="D13" s="12">
        <v>172</v>
      </c>
    </row>
    <row r="14" spans="3:4" x14ac:dyDescent="0.25">
      <c r="C14" s="13">
        <v>45676</v>
      </c>
      <c r="D14" s="12">
        <v>489</v>
      </c>
    </row>
    <row r="15" spans="3:4" x14ac:dyDescent="0.25">
      <c r="C15" s="13">
        <v>45677</v>
      </c>
      <c r="D15" s="12">
        <v>428</v>
      </c>
    </row>
    <row r="16" spans="3:4" x14ac:dyDescent="0.25">
      <c r="C16" s="13">
        <v>45678</v>
      </c>
      <c r="D16" s="12">
        <v>386</v>
      </c>
    </row>
    <row r="17" spans="3:4" x14ac:dyDescent="0.25">
      <c r="C17" s="13">
        <v>45679</v>
      </c>
      <c r="D17" s="12">
        <v>998</v>
      </c>
    </row>
    <row r="18" spans="3:4" x14ac:dyDescent="0.25">
      <c r="C18" s="13">
        <v>45680</v>
      </c>
      <c r="D18" s="12">
        <v>124</v>
      </c>
    </row>
    <row r="19" spans="3:4" x14ac:dyDescent="0.25">
      <c r="C19" s="13">
        <v>45681</v>
      </c>
      <c r="D19" s="12">
        <v>248</v>
      </c>
    </row>
    <row r="20" spans="3:4" x14ac:dyDescent="0.25">
      <c r="C20" s="13">
        <v>45682</v>
      </c>
      <c r="D20" s="12">
        <v>411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1BDB-752F-4C78-BAC8-B1A7681ADCD8}">
  <sheetPr>
    <tabColor rgb="FFFFC000"/>
  </sheetPr>
  <dimension ref="B2:G19"/>
  <sheetViews>
    <sheetView zoomScale="80" zoomScaleNormal="80" workbookViewId="0"/>
  </sheetViews>
  <sheetFormatPr defaultRowHeight="15" x14ac:dyDescent="0.25"/>
  <cols>
    <col min="2" max="2" width="24.140625" bestFit="1" customWidth="1"/>
    <col min="3" max="3" width="14.28515625" bestFit="1" customWidth="1"/>
    <col min="6" max="6" width="18.7109375" bestFit="1" customWidth="1"/>
    <col min="7" max="7" width="14.28515625" bestFit="1" customWidth="1"/>
  </cols>
  <sheetData>
    <row r="2" spans="2:7" x14ac:dyDescent="0.25">
      <c r="B2" s="4" t="s">
        <v>1</v>
      </c>
      <c r="C2" t="s">
        <v>12</v>
      </c>
      <c r="F2" s="4" t="s">
        <v>1</v>
      </c>
      <c r="G2" t="s">
        <v>7</v>
      </c>
    </row>
    <row r="4" spans="2:7" x14ac:dyDescent="0.25">
      <c r="B4" s="4" t="s">
        <v>72</v>
      </c>
      <c r="C4" t="s">
        <v>74</v>
      </c>
      <c r="F4" s="4" t="s">
        <v>72</v>
      </c>
      <c r="G4" t="s">
        <v>74</v>
      </c>
    </row>
    <row r="5" spans="2:7" x14ac:dyDescent="0.25">
      <c r="B5" s="5" t="s">
        <v>13</v>
      </c>
      <c r="C5" s="6">
        <v>550</v>
      </c>
      <c r="F5" s="5" t="s">
        <v>29</v>
      </c>
      <c r="G5" s="6">
        <v>800</v>
      </c>
    </row>
    <row r="6" spans="2:7" x14ac:dyDescent="0.25">
      <c r="B6" s="5" t="s">
        <v>39</v>
      </c>
      <c r="C6" s="6">
        <v>80</v>
      </c>
      <c r="F6" s="5" t="s">
        <v>8</v>
      </c>
      <c r="G6" s="6">
        <v>5000</v>
      </c>
    </row>
    <row r="7" spans="2:7" x14ac:dyDescent="0.25">
      <c r="B7" s="5" t="s">
        <v>25</v>
      </c>
      <c r="C7" s="6">
        <v>400</v>
      </c>
      <c r="F7" s="5" t="s">
        <v>73</v>
      </c>
      <c r="G7" s="6">
        <v>5800</v>
      </c>
    </row>
    <row r="8" spans="2:7" x14ac:dyDescent="0.25">
      <c r="B8" s="5" t="s">
        <v>33</v>
      </c>
      <c r="C8" s="6">
        <v>1200</v>
      </c>
    </row>
    <row r="9" spans="2:7" x14ac:dyDescent="0.25">
      <c r="B9" s="5" t="s">
        <v>45</v>
      </c>
      <c r="C9" s="6">
        <v>350</v>
      </c>
    </row>
    <row r="10" spans="2:7" x14ac:dyDescent="0.25">
      <c r="B10" s="5" t="s">
        <v>21</v>
      </c>
      <c r="C10" s="6">
        <v>120</v>
      </c>
    </row>
    <row r="11" spans="2:7" x14ac:dyDescent="0.25">
      <c r="B11" s="5" t="s">
        <v>41</v>
      </c>
      <c r="C11" s="6">
        <v>200</v>
      </c>
    </row>
    <row r="12" spans="2:7" x14ac:dyDescent="0.25">
      <c r="B12" s="5" t="s">
        <v>37</v>
      </c>
      <c r="C12" s="6">
        <v>180</v>
      </c>
    </row>
    <row r="13" spans="2:7" x14ac:dyDescent="0.25">
      <c r="B13" s="5" t="s">
        <v>23</v>
      </c>
      <c r="C13" s="6">
        <v>250</v>
      </c>
    </row>
    <row r="14" spans="2:7" x14ac:dyDescent="0.25">
      <c r="B14" s="5" t="s">
        <v>31</v>
      </c>
      <c r="C14" s="6">
        <v>150</v>
      </c>
    </row>
    <row r="15" spans="2:7" x14ac:dyDescent="0.25">
      <c r="B15" s="5" t="s">
        <v>17</v>
      </c>
      <c r="C15" s="6">
        <v>300</v>
      </c>
    </row>
    <row r="16" spans="2:7" x14ac:dyDescent="0.25">
      <c r="B16" s="5" t="s">
        <v>35</v>
      </c>
      <c r="C16" s="6">
        <v>450</v>
      </c>
    </row>
    <row r="17" spans="2:3" x14ac:dyDescent="0.25">
      <c r="B17" s="5" t="s">
        <v>27</v>
      </c>
      <c r="C17" s="6">
        <v>600</v>
      </c>
    </row>
    <row r="18" spans="2:3" x14ac:dyDescent="0.25">
      <c r="B18" s="5" t="s">
        <v>43</v>
      </c>
      <c r="C18" s="6">
        <v>750</v>
      </c>
    </row>
    <row r="19" spans="2:3" x14ac:dyDescent="0.25">
      <c r="B19" s="5" t="s">
        <v>73</v>
      </c>
      <c r="C19" s="6">
        <v>5580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FCB3-A7E5-4ADD-A1B8-FB0216F35CC7}">
  <dimension ref="A1:U1"/>
  <sheetViews>
    <sheetView showGridLines="0" tabSelected="1" zoomScale="80" zoomScaleNormal="80" workbookViewId="0"/>
  </sheetViews>
  <sheetFormatPr defaultColWidth="0" defaultRowHeight="15" x14ac:dyDescent="0.25"/>
  <cols>
    <col min="1" max="1" width="28.7109375" style="8" customWidth="1"/>
    <col min="2" max="18" width="9.140625" style="7" customWidth="1"/>
    <col min="22" max="16384" width="9.140625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Caixinha</vt:lpstr>
      <vt:lpstr>Controller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</dc:creator>
  <cp:lastModifiedBy>Cintia</cp:lastModifiedBy>
  <dcterms:created xsi:type="dcterms:W3CDTF">2025-01-10T00:02:18Z</dcterms:created>
  <dcterms:modified xsi:type="dcterms:W3CDTF">2025-01-13T00:48:02Z</dcterms:modified>
</cp:coreProperties>
</file>